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UBLICO\ESTUDIOS DIGITALIZADOS\LABORAL\01 LABORATORIOS RECIBIDOS\2026\07-JULIO\"/>
    </mc:Choice>
  </mc:AlternateContent>
  <xr:revisionPtr revIDLastSave="0" documentId="8_{464BBDF4-A3B5-49EF-816F-B5DE123C6C33}" xr6:coauthVersionLast="36" xr6:coauthVersionMax="36" xr10:uidLastSave="{00000000-0000-0000-0000-000000000000}"/>
  <bookViews>
    <workbookView xWindow="0" yWindow="0" windowWidth="17970" windowHeight="5955"/>
  </bookViews>
  <sheets>
    <sheet name="Hoja1" sheetId="1" r:id="rId1"/>
  </sheets>
  <definedNames>
    <definedName name="_xlnm._FilterDatabase" localSheetId="0" hidden="1">Hoja1!$A$1:$AN$1</definedName>
  </definedNames>
  <calcPr calcId="191029"/>
</workbook>
</file>

<file path=xl/calcChain.xml><?xml version="1.0" encoding="utf-8"?>
<calcChain xmlns="http://schemas.openxmlformats.org/spreadsheetml/2006/main">
  <c r="N2" i="1" l="1"/>
  <c r="N3" i="1"/>
  <c r="AI2" i="1"/>
  <c r="AI3" i="1"/>
</calcChain>
</file>

<file path=xl/sharedStrings.xml><?xml version="1.0" encoding="utf-8"?>
<sst xmlns="http://schemas.openxmlformats.org/spreadsheetml/2006/main" count="68" uniqueCount="45">
  <si>
    <t>Fecha</t>
  </si>
  <si>
    <t>Orden</t>
  </si>
  <si>
    <t>GR</t>
  </si>
  <si>
    <t>GB</t>
  </si>
  <si>
    <t>HGB</t>
  </si>
  <si>
    <t>HTC</t>
  </si>
  <si>
    <t>ERI</t>
  </si>
  <si>
    <t>NC</t>
  </si>
  <si>
    <t>NS</t>
  </si>
  <si>
    <t>EOS</t>
  </si>
  <si>
    <t>BAS</t>
  </si>
  <si>
    <t>LIN</t>
  </si>
  <si>
    <t>MON</t>
  </si>
  <si>
    <t>GLU</t>
  </si>
  <si>
    <t>URE</t>
  </si>
  <si>
    <t>CHA</t>
  </si>
  <si>
    <t>COL</t>
  </si>
  <si>
    <t>ASP</t>
  </si>
  <si>
    <t>DEN</t>
  </si>
  <si>
    <t>PH</t>
  </si>
  <si>
    <t>PRO</t>
  </si>
  <si>
    <t>CC</t>
  </si>
  <si>
    <t>BIL</t>
  </si>
  <si>
    <t>CEL</t>
  </si>
  <si>
    <t>LEU</t>
  </si>
  <si>
    <t>HEM</t>
  </si>
  <si>
    <t>PIO</t>
  </si>
  <si>
    <t>MUC</t>
  </si>
  <si>
    <t>N</t>
  </si>
  <si>
    <t>A</t>
  </si>
  <si>
    <t>L</t>
  </si>
  <si>
    <t>HDL</t>
  </si>
  <si>
    <t>TGL</t>
  </si>
  <si>
    <t>LDL</t>
  </si>
  <si>
    <t>GS</t>
  </si>
  <si>
    <t>RH</t>
  </si>
  <si>
    <t>VDRCU</t>
  </si>
  <si>
    <t>T. EMB.</t>
  </si>
  <si>
    <t>OBS.</t>
  </si>
  <si>
    <t>E</t>
  </si>
  <si>
    <t>L-1</t>
  </si>
  <si>
    <t>L-2</t>
  </si>
  <si>
    <t>R</t>
  </si>
  <si>
    <t>210726</t>
  </si>
  <si>
    <t>ORINA: REGULAR CRISTALES DE ACIDO URICO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</si>
</sst>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"/>
    <numFmt numFmtId="173" formatCode="#,##0.0000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2" fontId="3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7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73" fontId="3" fillId="0" borderId="4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"/>
  <sheetViews>
    <sheetView tabSelected="1" workbookViewId="0">
      <pane ySplit="1" topLeftCell="A2" activePane="bottomLeft" state="frozen"/>
      <selection activeCell="R1" sqref="R1"/>
      <selection pane="bottomLeft" activeCell="AN4" sqref="AN4"/>
    </sheetView>
  </sheetViews>
  <sheetFormatPr baseColWidth="10" defaultColWidth="8.7109375" defaultRowHeight="18.75" customHeight="1" x14ac:dyDescent="0.25"/>
  <cols>
    <col min="1" max="1" width="7.85546875" style="4" bestFit="1" customWidth="1"/>
    <col min="2" max="2" width="6.85546875" style="6" bestFit="1" customWidth="1"/>
    <col min="3" max="3" width="11" style="4" customWidth="1"/>
    <col min="4" max="4" width="7" style="24" customWidth="1"/>
    <col min="5" max="5" width="5.42578125" style="4" customWidth="1"/>
    <col min="6" max="6" width="5.7109375" style="4" customWidth="1"/>
    <col min="7" max="7" width="5.140625" style="21" customWidth="1"/>
    <col min="8" max="8" width="5.5703125" style="21" customWidth="1"/>
    <col min="9" max="10" width="5" style="21" customWidth="1"/>
    <col min="11" max="11" width="5.42578125" style="21" customWidth="1"/>
    <col min="12" max="13" width="5.85546875" style="21" customWidth="1"/>
    <col min="14" max="14" width="5.7109375" style="4" customWidth="1"/>
    <col min="15" max="17" width="5.28515625" style="4" customWidth="1"/>
    <col min="18" max="19" width="5" style="4" customWidth="1"/>
    <col min="20" max="20" width="4.85546875" style="4" customWidth="1"/>
    <col min="21" max="21" width="4.7109375" style="7" customWidth="1"/>
    <col min="22" max="22" width="5.28515625" style="4" customWidth="1"/>
    <col min="23" max="23" width="5.7109375" style="4" customWidth="1"/>
    <col min="24" max="24" width="5.5703125" style="4" customWidth="1"/>
    <col min="25" max="26" width="4.140625" style="4" customWidth="1"/>
    <col min="27" max="27" width="5.140625" style="4" customWidth="1"/>
    <col min="28" max="28" width="5" style="4" customWidth="1"/>
    <col min="29" max="29" width="5.7109375" style="4" customWidth="1"/>
    <col min="30" max="30" width="4.5703125" style="4" customWidth="1"/>
    <col min="31" max="31" width="5.7109375" style="4" customWidth="1"/>
    <col min="32" max="32" width="5.140625" style="4" customWidth="1"/>
    <col min="33" max="33" width="5.42578125" style="4" customWidth="1"/>
    <col min="34" max="34" width="5" style="4" customWidth="1"/>
    <col min="35" max="35" width="4.85546875" style="4" customWidth="1"/>
    <col min="36" max="37" width="5" style="4" customWidth="1"/>
    <col min="38" max="38" width="7.85546875" style="4" bestFit="1" customWidth="1"/>
    <col min="39" max="39" width="8.140625" style="4" bestFit="1" customWidth="1"/>
    <col min="40" max="40" width="45.85546875" style="4" bestFit="1" customWidth="1"/>
    <col min="41" max="16384" width="8.7109375" style="4"/>
  </cols>
  <sheetData>
    <row r="1" spans="1:40" s="16" customFormat="1" ht="18.75" customHeight="1" x14ac:dyDescent="0.25">
      <c r="A1" s="11" t="s">
        <v>0</v>
      </c>
      <c r="B1" s="11" t="s">
        <v>1</v>
      </c>
      <c r="C1" s="11" t="s">
        <v>2</v>
      </c>
      <c r="D1" s="22" t="s">
        <v>3</v>
      </c>
      <c r="E1" s="11" t="s">
        <v>4</v>
      </c>
      <c r="F1" s="11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1"/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2" t="s">
        <v>19</v>
      </c>
      <c r="V1" s="11" t="s">
        <v>13</v>
      </c>
      <c r="W1" s="11" t="s">
        <v>20</v>
      </c>
      <c r="X1" s="11" t="s">
        <v>4</v>
      </c>
      <c r="Y1" s="11" t="s">
        <v>21</v>
      </c>
      <c r="Z1" s="11" t="s">
        <v>22</v>
      </c>
      <c r="AA1" s="11" t="s">
        <v>23</v>
      </c>
      <c r="AB1" s="11" t="s">
        <v>24</v>
      </c>
      <c r="AC1" s="11" t="s">
        <v>25</v>
      </c>
      <c r="AD1" s="11" t="s">
        <v>26</v>
      </c>
      <c r="AE1" s="11" t="s">
        <v>27</v>
      </c>
      <c r="AF1" s="13" t="s">
        <v>31</v>
      </c>
      <c r="AG1" s="13" t="s">
        <v>16</v>
      </c>
      <c r="AH1" s="13" t="s">
        <v>32</v>
      </c>
      <c r="AI1" s="14" t="s">
        <v>33</v>
      </c>
      <c r="AJ1" s="15" t="s">
        <v>34</v>
      </c>
      <c r="AK1" s="15" t="s">
        <v>35</v>
      </c>
      <c r="AL1" s="15" t="s">
        <v>36</v>
      </c>
      <c r="AM1" s="11" t="s">
        <v>37</v>
      </c>
      <c r="AN1" s="11" t="s">
        <v>38</v>
      </c>
    </row>
    <row r="2" spans="1:40" ht="19.5" customHeight="1" x14ac:dyDescent="0.25">
      <c r="A2" s="25" t="s">
        <v>43</v>
      </c>
      <c r="B2" s="11" t="s">
        <v>40</v>
      </c>
      <c r="C2" s="23">
        <v>4.8499999999999996</v>
      </c>
      <c r="D2" s="3">
        <v>6500</v>
      </c>
      <c r="E2" s="5">
        <v>14.9</v>
      </c>
      <c r="F2" s="5">
        <v>45</v>
      </c>
      <c r="G2" s="20">
        <v>8</v>
      </c>
      <c r="H2" s="20">
        <v>4</v>
      </c>
      <c r="I2" s="20">
        <v>67</v>
      </c>
      <c r="J2" s="20">
        <v>1</v>
      </c>
      <c r="K2" s="20">
        <v>0</v>
      </c>
      <c r="L2" s="20">
        <v>26</v>
      </c>
      <c r="M2" s="20">
        <v>2</v>
      </c>
      <c r="N2" s="20">
        <f>SUM(H2:M2)</f>
        <v>100</v>
      </c>
      <c r="O2" s="2">
        <v>106</v>
      </c>
      <c r="P2" s="2">
        <v>39</v>
      </c>
      <c r="Q2" s="1"/>
      <c r="R2" s="2" t="s">
        <v>29</v>
      </c>
      <c r="S2" s="2" t="s">
        <v>30</v>
      </c>
      <c r="T2" s="3">
        <v>25</v>
      </c>
      <c r="U2" s="5">
        <v>6</v>
      </c>
      <c r="V2" s="1" t="s">
        <v>28</v>
      </c>
      <c r="W2" s="1" t="s">
        <v>28</v>
      </c>
      <c r="X2" s="1" t="s">
        <v>28</v>
      </c>
      <c r="Y2" s="1" t="s">
        <v>28</v>
      </c>
      <c r="Z2" s="1" t="s">
        <v>28</v>
      </c>
      <c r="AA2" s="1" t="s">
        <v>42</v>
      </c>
      <c r="AB2" s="1" t="s">
        <v>39</v>
      </c>
      <c r="AC2" s="1" t="s">
        <v>28</v>
      </c>
      <c r="AD2" s="1" t="s">
        <v>28</v>
      </c>
      <c r="AE2" s="1" t="s">
        <v>28</v>
      </c>
      <c r="AF2" s="8"/>
      <c r="AG2" s="8"/>
      <c r="AH2" s="8"/>
      <c r="AI2" s="9">
        <f>AG2-((AH2/5) + AF2)</f>
        <v>0</v>
      </c>
      <c r="AJ2" s="10"/>
      <c r="AK2" s="10"/>
      <c r="AL2" s="18"/>
      <c r="AM2" s="17"/>
      <c r="AN2" s="17"/>
    </row>
    <row r="3" spans="1:40" ht="18.75" customHeight="1" x14ac:dyDescent="0.25">
      <c r="A3" s="25" t="s">
        <v>43</v>
      </c>
      <c r="B3" s="11" t="s">
        <v>41</v>
      </c>
      <c r="C3" s="23">
        <v>4.97</v>
      </c>
      <c r="D3" s="3">
        <v>5400</v>
      </c>
      <c r="E3" s="5">
        <v>15.1</v>
      </c>
      <c r="F3" s="5">
        <v>46</v>
      </c>
      <c r="G3" s="20">
        <v>4</v>
      </c>
      <c r="H3" s="20">
        <v>0</v>
      </c>
      <c r="I3" s="20">
        <v>65</v>
      </c>
      <c r="J3" s="20">
        <v>2</v>
      </c>
      <c r="K3" s="20">
        <v>0</v>
      </c>
      <c r="L3" s="20">
        <v>31</v>
      </c>
      <c r="M3" s="20">
        <v>2</v>
      </c>
      <c r="N3" s="20">
        <f>SUM(H3:M3)</f>
        <v>100</v>
      </c>
      <c r="O3" s="2">
        <v>87</v>
      </c>
      <c r="P3" s="2">
        <v>23</v>
      </c>
      <c r="Q3" s="1"/>
      <c r="R3" s="2" t="s">
        <v>29</v>
      </c>
      <c r="S3" s="2" t="s">
        <v>30</v>
      </c>
      <c r="T3" s="3">
        <v>30</v>
      </c>
      <c r="U3" s="5">
        <v>5</v>
      </c>
      <c r="V3" s="1" t="s">
        <v>28</v>
      </c>
      <c r="W3" s="1" t="s">
        <v>28</v>
      </c>
      <c r="X3" s="1" t="s">
        <v>28</v>
      </c>
      <c r="Y3" s="1" t="s">
        <v>28</v>
      </c>
      <c r="Z3" s="1" t="s">
        <v>28</v>
      </c>
      <c r="AA3" s="1" t="s">
        <v>42</v>
      </c>
      <c r="AB3" s="1" t="s">
        <v>42</v>
      </c>
      <c r="AC3" s="1" t="s">
        <v>28</v>
      </c>
      <c r="AD3" s="1" t="s">
        <v>28</v>
      </c>
      <c r="AE3" s="1" t="s">
        <v>28</v>
      </c>
      <c r="AF3" s="8"/>
      <c r="AG3" s="8"/>
      <c r="AH3" s="8"/>
      <c r="AI3" s="9">
        <f>AG3-((AH3/5) + AF3)</f>
        <v>0</v>
      </c>
      <c r="AJ3" s="10"/>
      <c r="AK3" s="10"/>
      <c r="AL3" s="18"/>
      <c r="AM3" s="17"/>
      <c r="AN3" s="17" t="s">
        <v>44</v>
      </c>
    </row>
  </sheetData>
  <phoneticPr fontId="1" type="noConversion"/>
  <conditionalFormatting sqref="N2:N3">
    <cfRule type="cellIs" dxfId="1" priority="23" operator="lessThan">
      <formula>100</formula>
    </cfRule>
    <cfRule type="cellIs" dxfId="0" priority="24" operator="greaterThan">
      <formula>100</formula>
    </cfRule>
  </conditionalFormatting>
  <dataValidations count="3">
    <dataValidation type="list" allowBlank="1" showInputMessage="1" showErrorMessage="1" sqref="Q2:Q3">
      <formula1>"NEG,POS"</formula1>
    </dataValidation>
    <dataValidation type="list" allowBlank="1" showInputMessage="1" showErrorMessage="1" sqref="V2:Z3">
      <formula1>"N,+,++,+++"</formula1>
    </dataValidation>
    <dataValidation type="list" allowBlank="1" showInputMessage="1" showErrorMessage="1" sqref="AA2:AE3">
      <formula1>"N,E,R,A"</formula1>
    </dataValidation>
  </dataValidations>
  <pageMargins left="0.7" right="0.7" top="0.75" bottom="0.75" header="0.3" footer="0.3"/>
  <pageSetup orientation="portrait" r:id="rId1"/>
  <ignoredErrors>
    <ignoredError sqref="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Julieta JM. Machado</cp:lastModifiedBy>
  <dcterms:created xsi:type="dcterms:W3CDTF">2016-02-17T14:17:05Z</dcterms:created>
  <dcterms:modified xsi:type="dcterms:W3CDTF">2026-07-22T13:42:14Z</dcterms:modified>
</cp:coreProperties>
</file>